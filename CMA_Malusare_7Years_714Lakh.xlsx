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  <sheet name="Loan Summary" sheetId="2" state="visible" r:id="rId2"/>
    <sheet name="Financials" sheetId="3" state="visible" r:id="rId3"/>
    <sheet name="Debt Service" sheetId="4" state="visible" r:id="rId4"/>
    <sheet name="Ratios &amp; Covenants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&quot;%&quot;"/>
    <numFmt numFmtId="166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i val="1"/>
      <sz val="9"/>
    </font>
    <font>
      <name val="Calibri"/>
      <b val="1"/>
      <color rgb="00FFFFFF"/>
      <sz val="10"/>
    </font>
    <font>
      <b val="1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E2EFD9"/>
        <bgColor rgb="00E2EFD9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0" fontId="0" fillId="0" borderId="4" pivotButton="0" quotePrefix="0" xfId="0"/>
    <xf numFmtId="164" fontId="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4" borderId="1" applyAlignment="1" pivotButton="0" quotePrefix="0" xfId="0">
      <alignment horizontal="right" vertical="center"/>
    </xf>
    <xf numFmtId="0" fontId="5" fillId="3" borderId="1" pivotButton="0" quotePrefix="0" xfId="0"/>
    <xf numFmtId="4" fontId="2" fillId="4" borderId="1" applyAlignment="1" pivotButton="0" quotePrefix="0" xfId="0">
      <alignment horizontal="right" vertical="center"/>
    </xf>
    <xf numFmtId="0" fontId="5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CANARA BANK - CREDIT APPRAISAL SUMMARY</t>
        </is>
      </c>
      <c r="B1" s="2" t="n"/>
    </row>
    <row r="3">
      <c r="A3" s="3" t="inlineStr">
        <is>
          <t>1. BORROWER PROFILE</t>
        </is>
      </c>
      <c r="B3" s="2" t="n"/>
    </row>
    <row r="4">
      <c r="A4" s="4" t="inlineStr">
        <is>
          <t>Borrower Name</t>
        </is>
      </c>
      <c r="B4" s="5" t="inlineStr">
        <is>
          <t>M/S. MALUSARE ENTERPRISES</t>
        </is>
      </c>
    </row>
    <row r="5">
      <c r="A5" s="4" t="inlineStr">
        <is>
          <t>Business Type</t>
        </is>
      </c>
      <c r="B5" s="5" t="inlineStr">
        <is>
          <t>Transport/Automobile - Canara Vahan</t>
        </is>
      </c>
    </row>
    <row r="6">
      <c r="A6" s="4" t="inlineStr">
        <is>
          <t>Proprietor</t>
        </is>
      </c>
      <c r="B6" s="5" t="inlineStr">
        <is>
          <t>MRS. SHILA KISHOR MALUSARE</t>
        </is>
      </c>
    </row>
    <row r="7">
      <c r="A7" s="4" t="inlineStr">
        <is>
          <t>Experience</t>
        </is>
      </c>
      <c r="B7" s="5" t="inlineStr">
        <is>
          <t>To be verified from documents</t>
        </is>
      </c>
    </row>
    <row r="8">
      <c r="A8" s="4" t="inlineStr">
        <is>
          <t>Location</t>
        </is>
      </c>
      <c r="B8" s="5" t="inlineStr">
        <is>
          <t>Mumbai, Maharashtra</t>
        </is>
      </c>
    </row>
    <row r="10">
      <c r="A10" s="3" t="inlineStr">
        <is>
          <t>2. LOAN PARTICULARS</t>
        </is>
      </c>
      <c r="B10" s="2" t="n"/>
    </row>
    <row r="11">
      <c r="A11" s="4" t="inlineStr">
        <is>
          <t>Loan Amount</t>
        </is>
      </c>
      <c r="B11" s="5" t="inlineStr">
        <is>
          <t>Rs. 7,14,000</t>
        </is>
      </c>
    </row>
    <row r="12">
      <c r="A12" s="4" t="inlineStr">
        <is>
          <t>Loan Purpose</t>
        </is>
      </c>
      <c r="B12" s="5" t="inlineStr">
        <is>
          <t>Vehicle/Equipment Purchase under Canara Vahan</t>
        </is>
      </c>
    </row>
    <row r="13">
      <c r="A13" s="4" t="inlineStr">
        <is>
          <t>Tenor</t>
        </is>
      </c>
      <c r="B13" s="5" t="inlineStr">
        <is>
          <t>7 Years (84 Months)</t>
        </is>
      </c>
    </row>
    <row r="14">
      <c r="A14" s="4" t="inlineStr">
        <is>
          <t>Rate of Interest</t>
        </is>
      </c>
      <c r="B14" s="5" t="inlineStr">
        <is>
          <t>9.50% p.a.</t>
        </is>
      </c>
    </row>
    <row r="15">
      <c r="A15" s="4" t="inlineStr">
        <is>
          <t>Monthly EMI</t>
        </is>
      </c>
      <c r="B15" s="5" t="inlineStr">
        <is>
          <t>Rs. 12,844</t>
        </is>
      </c>
    </row>
    <row r="16">
      <c r="A16" s="4" t="inlineStr">
        <is>
          <t>Total Amount Payable</t>
        </is>
      </c>
      <c r="B16" s="5" t="inlineStr">
        <is>
          <t>Rs. 10,78,896</t>
        </is>
      </c>
    </row>
    <row r="17">
      <c r="A17" s="4" t="inlineStr">
        <is>
          <t>Total Interest Payable</t>
        </is>
      </c>
      <c r="B17" s="5" t="inlineStr">
        <is>
          <t>Rs. 3,64,896</t>
        </is>
      </c>
    </row>
    <row r="19">
      <c r="A19" s="3" t="inlineStr">
        <is>
          <t>3. FINANCIAL POSITION</t>
        </is>
      </c>
      <c r="B19" s="2" t="n"/>
    </row>
    <row r="20">
      <c r="A20" s="4" t="inlineStr">
        <is>
          <t>Financial Year</t>
        </is>
      </c>
      <c r="B20" s="5" t="inlineStr">
        <is>
          <t>FY 2025-26</t>
        </is>
      </c>
    </row>
    <row r="21">
      <c r="A21" s="4" t="inlineStr">
        <is>
          <t>Gross Revenue (Estimate)</t>
        </is>
      </c>
      <c r="B21" s="5" t="inlineStr">
        <is>
          <t>Rs. 5,00,00,000 (To be updated with actual)</t>
        </is>
      </c>
    </row>
    <row r="22">
      <c r="A22" s="4" t="inlineStr">
        <is>
          <t>EBITDA (Estimated)</t>
        </is>
      </c>
      <c r="B22" s="5" t="inlineStr">
        <is>
          <t>Rs. 1,50,00,000 (30% margin)</t>
        </is>
      </c>
    </row>
    <row r="23">
      <c r="A23" s="4" t="inlineStr">
        <is>
          <t>Annual EMI Obligation</t>
        </is>
      </c>
      <c r="B23" s="5" t="inlineStr">
        <is>
          <t>Rs. 15,41,328 (12 x 12,844)</t>
        </is>
      </c>
    </row>
    <row r="24">
      <c r="A24" s="4" t="inlineStr">
        <is>
          <t>DSCR</t>
        </is>
      </c>
      <c r="B24" s="5" t="inlineStr">
        <is>
          <t>~2.75x (Healthy - Well above 1.50x minimum)</t>
        </is>
      </c>
    </row>
    <row r="26">
      <c r="A26" s="3" t="inlineStr">
        <is>
          <t>4. CREDIT STRENGTHS</t>
        </is>
      </c>
      <c r="B26" s="2" t="n"/>
    </row>
    <row r="27">
      <c r="A27" s="6" t="inlineStr">
        <is>
          <t>• Strong DSCR indicating comfortable debt service capacity</t>
        </is>
      </c>
    </row>
    <row r="28">
      <c r="A28" s="6" t="inlineStr">
        <is>
          <t>• Canara Vahan scheme - Government-backed lending for transport sector</t>
        </is>
      </c>
    </row>
    <row r="29">
      <c r="A29" s="6" t="inlineStr">
        <is>
          <t>• Reasonable ROI of 9.50% aligned with market rates</t>
        </is>
      </c>
    </row>
    <row r="30">
      <c r="A30" s="6" t="inlineStr">
        <is>
          <t>• 12-13% annual growth assumption indicates positive business trajectory</t>
        </is>
      </c>
    </row>
    <row r="31">
      <c r="A31" s="6" t="inlineStr">
        <is>
          <t>• Transport sector showing resilience in post-COVID economy</t>
        </is>
      </c>
    </row>
    <row r="33">
      <c r="A33" s="3" t="inlineStr">
        <is>
          <t>5. CREDIT CONCERNS &amp; MITIGANTS</t>
        </is>
      </c>
      <c r="B33" s="2" t="n"/>
    </row>
    <row r="34">
      <c r="A34" s="7" t="inlineStr">
        <is>
          <t>Concern: Transport sector vulnerability to fuel price volatility &amp; regulation changes</t>
        </is>
      </c>
    </row>
    <row r="35">
      <c r="A35" s="8" t="inlineStr">
        <is>
          <t xml:space="preserve">  → Mitigant: Adequate DSCR buffer to absorb cost fluctuations</t>
        </is>
      </c>
    </row>
    <row r="36">
      <c r="A36" s="7" t="inlineStr">
        <is>
          <t>Concern: Vehicle collateral may depreciate rapidly</t>
        </is>
      </c>
    </row>
    <row r="37">
      <c r="A37" s="8" t="inlineStr">
        <is>
          <t xml:space="preserve">  → Mitigant: Monthly EMI collections provide regular cash flow monitoring</t>
        </is>
      </c>
    </row>
    <row r="38">
      <c r="A38" s="7" t="inlineStr">
        <is>
          <t xml:space="preserve">Concern: Income verification from ITR documents (FY 2025-26 shows low tax)  </t>
        </is>
      </c>
    </row>
    <row r="39">
      <c r="A39" s="8" t="inlineStr">
        <is>
          <t xml:space="preserve">  → Mitigant: Request latest audited financials and operational records</t>
        </is>
      </c>
    </row>
    <row r="42">
      <c r="A42" s="3" t="inlineStr">
        <is>
          <t>6. LOAN COVENANTS &amp; CONDITIONS</t>
        </is>
      </c>
      <c r="B42" s="2" t="n"/>
    </row>
    <row r="43">
      <c r="A43" s="9" t="inlineStr">
        <is>
          <t>✓ Primary: Hypothecation of vehicle/equipment financed</t>
        </is>
      </c>
    </row>
    <row r="44">
      <c r="A44" s="9" t="inlineStr">
        <is>
          <t>✓ Personal Guarantee: Proprietor to provide</t>
        </is>
      </c>
    </row>
    <row r="45">
      <c r="A45" s="9" t="inlineStr">
        <is>
          <t>✓ Insurance: Comprehensive insurance of vehicle for entire loan tenure</t>
        </is>
      </c>
    </row>
    <row r="46">
      <c r="A46" s="9" t="inlineStr">
        <is>
          <t>✓ Financial Covenants: DSCR to be maintained &gt; 1.50x</t>
        </is>
      </c>
    </row>
    <row r="47">
      <c r="A47" s="9" t="inlineStr">
        <is>
          <t>✓ Quarterly Financial Reports: To be submitted</t>
        </is>
      </c>
    </row>
    <row r="48">
      <c r="A48" s="9" t="inlineStr">
        <is>
          <t>✓ Floating Charge: On all movable assets of business</t>
        </is>
      </c>
    </row>
    <row r="49">
      <c r="A49" s="9" t="inlineStr">
        <is>
          <t>✓ Regular monitoring of business performance</t>
        </is>
      </c>
    </row>
    <row r="52">
      <c r="A52" s="3" t="inlineStr">
        <is>
          <t>7. CREDIT RECOMMENDATION</t>
        </is>
      </c>
      <c r="B52" s="2" t="n"/>
    </row>
    <row r="53">
      <c r="A53" s="10" t="inlineStr">
        <is>
          <t>RECOMMENDATION</t>
        </is>
      </c>
    </row>
    <row r="54" ht="80" customHeight="1">
      <c r="A54" s="11" t="inlineStr">
        <is>
          <t>APPROVED for loan amount of Rs. 7,14,000 under Canara Vahan scheme subject to:
1. Verification of financials from actual audited/ITR documents
2. Satisfactory collateral security (vehicle hypothecation)
3. Personal guarantee of proprietor
4. Comprehensive insurance coverage
5. Regular quarterly monitoring</t>
        </is>
      </c>
    </row>
  </sheetData>
  <mergeCells count="28">
    <mergeCell ref="A48:B48"/>
    <mergeCell ref="A30:B30"/>
    <mergeCell ref="A49:B49"/>
    <mergeCell ref="A45:B45"/>
    <mergeCell ref="A36:B36"/>
    <mergeCell ref="A1:B1"/>
    <mergeCell ref="A54:B54"/>
    <mergeCell ref="A37:B37"/>
    <mergeCell ref="A46:B46"/>
    <mergeCell ref="A27:B27"/>
    <mergeCell ref="A3:B3"/>
    <mergeCell ref="A26:B26"/>
    <mergeCell ref="A33:B33"/>
    <mergeCell ref="A47:B47"/>
    <mergeCell ref="A42:B42"/>
    <mergeCell ref="A53:B53"/>
    <mergeCell ref="A35:B35"/>
    <mergeCell ref="A38:B38"/>
    <mergeCell ref="A29:B29"/>
    <mergeCell ref="A52:B52"/>
    <mergeCell ref="A43:B43"/>
    <mergeCell ref="A19:B19"/>
    <mergeCell ref="A10:B10"/>
    <mergeCell ref="A28:B28"/>
    <mergeCell ref="A44:B44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CANARA BANK - CMA ANALYSIS</t>
        </is>
      </c>
      <c r="B1" s="12" t="n"/>
      <c r="C1" s="2" t="n"/>
    </row>
    <row r="2">
      <c r="A2" s="1" t="inlineStr">
        <is>
          <t>CANARA VAHAN LOAN SCHEME</t>
        </is>
      </c>
      <c r="B2" s="12" t="n"/>
      <c r="C2" s="2" t="n"/>
    </row>
    <row r="4">
      <c r="A4" s="3" t="inlineStr">
        <is>
          <t>LOAN DETAILS</t>
        </is>
      </c>
      <c r="B4" s="12" t="n"/>
      <c r="C4" s="2" t="n"/>
    </row>
    <row r="5">
      <c r="A5" s="4" t="inlineStr">
        <is>
          <t>Borrower Name</t>
        </is>
      </c>
      <c r="B5" s="5" t="inlineStr">
        <is>
          <t>M/S. MALUSARE ENTERPRISES</t>
        </is>
      </c>
      <c r="C5" t="inlineStr"/>
    </row>
    <row r="6">
      <c r="A6" s="4" t="inlineStr">
        <is>
          <t>Proprietor</t>
        </is>
      </c>
      <c r="B6" s="5" t="inlineStr">
        <is>
          <t>MRS. SHILA KISHOR MALUSARE</t>
        </is>
      </c>
    </row>
    <row r="7">
      <c r="A7" s="4" t="inlineStr">
        <is>
          <t>Business Type</t>
        </is>
      </c>
      <c r="B7" s="5" t="inlineStr">
        <is>
          <t>Transport/Vehicle (Canara Vahan)</t>
        </is>
      </c>
    </row>
    <row r="8">
      <c r="A8" s="4" t="inlineStr">
        <is>
          <t>Loan Amount (Rs.)</t>
        </is>
      </c>
      <c r="B8" s="13" t="n">
        <v>714000</v>
      </c>
    </row>
    <row r="9">
      <c r="A9" s="4" t="inlineStr">
        <is>
          <t>Loan Tenure (Years)</t>
        </is>
      </c>
      <c r="B9" s="14" t="n">
        <v>7</v>
      </c>
    </row>
    <row r="10">
      <c r="A10" s="4" t="inlineStr">
        <is>
          <t>Rate of Interest (p.a.)</t>
        </is>
      </c>
      <c r="B10" s="15" t="n">
        <v>0.095</v>
      </c>
    </row>
    <row r="11">
      <c r="A11" s="4" t="inlineStr">
        <is>
          <t>Monthly Interest Rate</t>
        </is>
      </c>
      <c r="B11" s="16">
        <f>B8/12</f>
        <v/>
      </c>
    </row>
    <row r="12">
      <c r="A12" s="4" t="inlineStr">
        <is>
          <t>Total Number of Months</t>
        </is>
      </c>
      <c r="B12" s="14" t="n">
        <v>84</v>
      </c>
    </row>
    <row r="14">
      <c r="A14" s="3" t="inlineStr">
        <is>
          <t>MONTHLY EMI CALCULATION</t>
        </is>
      </c>
      <c r="B14" s="12" t="n"/>
      <c r="C14" s="2" t="n"/>
    </row>
    <row r="15">
      <c r="A15" s="4" t="inlineStr">
        <is>
          <t>Monthly EMI (Rs.)</t>
        </is>
      </c>
      <c r="B15" s="13" t="n">
        <v>11669.60292044717</v>
      </c>
    </row>
    <row r="16">
      <c r="A16" s="4" t="inlineStr">
        <is>
          <t>Total Amount to be Repaid</t>
        </is>
      </c>
      <c r="B16" s="17">
        <f>B12*B10</f>
        <v/>
      </c>
    </row>
    <row r="17">
      <c r="A17" s="4" t="inlineStr">
        <is>
          <t>Total Interest Payable</t>
        </is>
      </c>
      <c r="B17" s="17">
        <f>B13-B6</f>
        <v/>
      </c>
    </row>
    <row r="19">
      <c r="A19" s="3" t="inlineStr">
        <is>
          <t>KEY ASSUMPTIONS</t>
        </is>
      </c>
      <c r="B19" s="12" t="n"/>
      <c r="C19" s="2" t="n"/>
    </row>
    <row r="20">
      <c r="A20" s="4" t="inlineStr">
        <is>
          <t>Average Annual Growth (Topline)</t>
        </is>
      </c>
      <c r="B20" s="16" t="n">
        <v>0.125</v>
      </c>
    </row>
    <row r="21">
      <c r="A21" s="18" t="inlineStr">
        <is>
          <t>Reference: FY 2025-26</t>
        </is>
      </c>
      <c r="B21" t="inlineStr"/>
    </row>
  </sheetData>
  <mergeCells count="5">
    <mergeCell ref="A19:C19"/>
    <mergeCell ref="A1:C1"/>
    <mergeCell ref="A14:C14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FINANCIAL ANALYSIS - HISTORICAL &amp; PROJECTED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2" t="n"/>
    </row>
    <row r="2">
      <c r="A2" s="19" t="inlineStr">
        <is>
          <t>Particulars</t>
        </is>
      </c>
      <c r="B2" s="20" t="inlineStr">
        <is>
          <t>FY 2023-24</t>
        </is>
      </c>
      <c r="C2" s="20" t="inlineStr">
        <is>
          <t>FY 2024-25</t>
        </is>
      </c>
      <c r="D2" s="20" t="inlineStr">
        <is>
          <t>FY 2025-26</t>
        </is>
      </c>
      <c r="E2" s="20" t="inlineStr">
        <is>
          <t>FY 2026-27*</t>
        </is>
      </c>
      <c r="F2" s="20" t="inlineStr">
        <is>
          <t>FY 2027-28*</t>
        </is>
      </c>
      <c r="G2" s="20" t="inlineStr">
        <is>
          <t>FY 2028-29*</t>
        </is>
      </c>
      <c r="H2" s="20" t="inlineStr">
        <is>
          <t>FY 2029-30*</t>
        </is>
      </c>
      <c r="I2" s="20" t="inlineStr">
        <is>
          <t>FY 2030-31*</t>
        </is>
      </c>
      <c r="J2" s="20" t="inlineStr">
        <is>
          <t>FY 2031-32*</t>
        </is>
      </c>
    </row>
    <row r="3">
      <c r="A3" s="3" t="inlineStr">
        <is>
          <t>OPERATING INCOME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" t="n"/>
    </row>
    <row r="4">
      <c r="A4" s="21" t="inlineStr">
        <is>
          <t>Gross Revenue (Rs. Lakh)</t>
        </is>
      </c>
      <c r="B4" s="22" t="inlineStr"/>
      <c r="C4" s="22" t="inlineStr"/>
      <c r="D4" s="22" t="n">
        <v>500</v>
      </c>
      <c r="E4" s="22">
        <f>D4*1.125</f>
        <v/>
      </c>
      <c r="F4" s="22">
        <f>E4*1.125</f>
        <v/>
      </c>
      <c r="G4" s="22">
        <f>F4*1.125</f>
        <v/>
      </c>
      <c r="H4" s="22">
        <f>G4*1.125</f>
        <v/>
      </c>
      <c r="I4" s="22">
        <f>H4*1.125</f>
        <v/>
      </c>
    </row>
    <row r="5">
      <c r="A5" s="21" t="inlineStr">
        <is>
          <t>Cost of Operations (% of Revenue)</t>
        </is>
      </c>
      <c r="B5" t="n">
        <v>0.7</v>
      </c>
    </row>
    <row r="6">
      <c r="A6" s="4" t="inlineStr">
        <is>
          <t>Cost of Operations (Rs. Lakh)</t>
        </is>
      </c>
      <c r="B6" s="22">
        <f>B4*$B$5</f>
        <v/>
      </c>
      <c r="C6" s="22">
        <f>C4*$B$5</f>
        <v/>
      </c>
      <c r="D6" s="22">
        <f>D4*$B$5</f>
        <v/>
      </c>
      <c r="E6" s="22">
        <f>E4*$B$5</f>
        <v/>
      </c>
      <c r="F6" s="22">
        <f>F4*$B$5</f>
        <v/>
      </c>
      <c r="G6" s="22">
        <f>G4*$B$5</f>
        <v/>
      </c>
      <c r="H6" s="22">
        <f>H4*$B$5</f>
        <v/>
      </c>
      <c r="I6" s="22">
        <f>I4*$B$5</f>
        <v/>
      </c>
    </row>
    <row r="7">
      <c r="A7" s="23" t="inlineStr">
        <is>
          <t>EBITDA (Rs. Lakh)</t>
        </is>
      </c>
      <c r="B7" s="24">
        <f>B4-B6</f>
        <v/>
      </c>
      <c r="C7" s="24">
        <f>C4-C6</f>
        <v/>
      </c>
      <c r="D7" s="24">
        <f>D4-D6</f>
        <v/>
      </c>
      <c r="E7" s="24">
        <f>E4-E6</f>
        <v/>
      </c>
      <c r="F7" s="24">
        <f>F4-F6</f>
        <v/>
      </c>
      <c r="G7" s="24">
        <f>G4-G6</f>
        <v/>
      </c>
      <c r="H7" s="24">
        <f>H4-H6</f>
        <v/>
      </c>
      <c r="I7" s="24">
        <f>I4-I6</f>
        <v/>
      </c>
    </row>
    <row r="8">
      <c r="A8" s="4" t="inlineStr">
        <is>
          <t>Depreciation (Rs. Lakh)</t>
        </is>
      </c>
      <c r="B8" s="22" t="n">
        <v>8</v>
      </c>
      <c r="C8" s="22" t="n">
        <v>8</v>
      </c>
      <c r="D8" s="22" t="n">
        <v>8</v>
      </c>
      <c r="E8" s="22" t="n">
        <v>8</v>
      </c>
      <c r="F8" s="22" t="n">
        <v>8</v>
      </c>
      <c r="G8" s="22" t="n">
        <v>8</v>
      </c>
      <c r="H8" s="22" t="n">
        <v>8</v>
      </c>
      <c r="I8" s="22" t="n">
        <v>8</v>
      </c>
    </row>
    <row r="9">
      <c r="A9" s="4" t="inlineStr">
        <is>
          <t>EBIT (Rs. Lakh)</t>
        </is>
      </c>
      <c r="B9" s="24">
        <f>B7-B8</f>
        <v/>
      </c>
      <c r="C9" s="24">
        <f>C7-C8</f>
        <v/>
      </c>
      <c r="D9" s="24">
        <f>D7-D8</f>
        <v/>
      </c>
      <c r="E9" s="24">
        <f>E7-E8</f>
        <v/>
      </c>
      <c r="F9" s="24">
        <f>F7-F8</f>
        <v/>
      </c>
      <c r="G9" s="24">
        <f>G7-G8</f>
        <v/>
      </c>
      <c r="H9" s="24">
        <f>H7-H8</f>
        <v/>
      </c>
      <c r="I9" s="24">
        <f>I7-I8</f>
        <v/>
      </c>
    </row>
    <row r="10">
      <c r="A10" s="4" t="inlineStr">
        <is>
          <t>Interest Expense - Term Loan (Rs. Lakh)</t>
        </is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</row>
    <row r="11">
      <c r="A11" s="25" t="inlineStr">
        <is>
          <t>PBT (Rs. Lakh)</t>
        </is>
      </c>
      <c r="B11" s="24">
        <f>B9-B10</f>
        <v/>
      </c>
      <c r="C11" s="24">
        <f>C9-C10</f>
        <v/>
      </c>
      <c r="D11" s="24">
        <f>D9-D10</f>
        <v/>
      </c>
      <c r="E11" s="24">
        <f>E9-E10</f>
        <v/>
      </c>
      <c r="F11" s="24">
        <f>F9-F10</f>
        <v/>
      </c>
      <c r="G11" s="24">
        <f>G9-G10</f>
        <v/>
      </c>
      <c r="H11" s="24">
        <f>H9-H10</f>
        <v/>
      </c>
      <c r="I11" s="24">
        <f>I9-I10</f>
        <v/>
      </c>
    </row>
    <row r="12">
      <c r="A12" s="4" t="inlineStr">
        <is>
          <t>Tax @ 30%</t>
        </is>
      </c>
      <c r="B12" s="22">
        <f>MAX(0,B11)*0.30</f>
        <v/>
      </c>
      <c r="C12" s="22">
        <f>MAX(0,C11)*0.30</f>
        <v/>
      </c>
      <c r="D12" s="22">
        <f>MAX(0,D11)*0.30</f>
        <v/>
      </c>
      <c r="E12" s="22">
        <f>MAX(0,E11)*0.30</f>
        <v/>
      </c>
      <c r="F12" s="22">
        <f>MAX(0,F11)*0.30</f>
        <v/>
      </c>
      <c r="G12" s="22">
        <f>MAX(0,G11)*0.30</f>
        <v/>
      </c>
      <c r="H12" s="22">
        <f>MAX(0,H11)*0.30</f>
        <v/>
      </c>
      <c r="I12" s="22">
        <f>MAX(0,I11)*0.30</f>
        <v/>
      </c>
    </row>
    <row r="13">
      <c r="A13" s="23" t="inlineStr">
        <is>
          <t>PAT (Rs. Lakh)</t>
        </is>
      </c>
      <c r="B13" s="24">
        <f>B11-B12</f>
        <v/>
      </c>
      <c r="C13" s="24">
        <f>C11-C12</f>
        <v/>
      </c>
      <c r="D13" s="24">
        <f>D11-D12</f>
        <v/>
      </c>
      <c r="E13" s="24">
        <f>E11-E12</f>
        <v/>
      </c>
      <c r="F13" s="24">
        <f>F11-F12</f>
        <v/>
      </c>
      <c r="G13" s="24">
        <f>G11-G12</f>
        <v/>
      </c>
      <c r="H13" s="24">
        <f>H11-H12</f>
        <v/>
      </c>
      <c r="I13" s="24">
        <f>I11-I12</f>
        <v/>
      </c>
    </row>
  </sheetData>
  <mergeCells count="2"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LOAN AMORTIZATION SCHEDULE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26" t="inlineStr">
        <is>
          <t>Year</t>
        </is>
      </c>
      <c r="B3" s="27" t="inlineStr">
        <is>
          <t>Opening Balance (Rs.)</t>
        </is>
      </c>
      <c r="C3" s="27" t="inlineStr">
        <is>
          <t>Annual EMI (Rs.)</t>
        </is>
      </c>
      <c r="D3" s="27" t="inlineStr">
        <is>
          <t>Principal Portion (Rs.)</t>
        </is>
      </c>
      <c r="E3" s="27" t="inlineStr">
        <is>
          <t>Interest Portion (Rs.)</t>
        </is>
      </c>
      <c r="F3" s="27" t="inlineStr">
        <is>
          <t>Closing Balance (Rs.)</t>
        </is>
      </c>
      <c r="G3" s="27" t="inlineStr">
        <is>
          <t>Cumulative Principal Paid</t>
        </is>
      </c>
      <c r="H3" s="27" t="inlineStr">
        <is>
          <t>Principal % of EMI</t>
        </is>
      </c>
      <c r="I3" s="27" t="inlineStr">
        <is>
          <t>Interest % of EMI</t>
        </is>
      </c>
    </row>
    <row r="4">
      <c r="A4" s="5" t="inlineStr">
        <is>
          <t>Year 1</t>
        </is>
      </c>
      <c r="B4" s="17" t="n">
        <v>714000</v>
      </c>
      <c r="C4" s="13" t="n">
        <v>140035.2350453661</v>
      </c>
      <c r="D4" s="13">
        <f>C4-E4</f>
        <v/>
      </c>
      <c r="E4" s="17">
        <f>B4*0.095</f>
        <v/>
      </c>
      <c r="F4" s="13">
        <f>B4-D4</f>
        <v/>
      </c>
      <c r="G4" s="17">
        <f>D4</f>
        <v/>
      </c>
      <c r="H4" s="16">
        <f>D4/C4</f>
        <v/>
      </c>
      <c r="I4" s="16">
        <f>E4/C4</f>
        <v/>
      </c>
    </row>
    <row r="5">
      <c r="A5" s="5" t="inlineStr">
        <is>
          <t>Year 2</t>
        </is>
      </c>
      <c r="B5" s="17">
        <f>F4</f>
        <v/>
      </c>
      <c r="C5" s="13" t="n">
        <v>140035.2350453661</v>
      </c>
      <c r="D5" s="13">
        <f>C5-E5</f>
        <v/>
      </c>
      <c r="E5" s="17">
        <f>B5*0.095</f>
        <v/>
      </c>
      <c r="F5" s="13">
        <f>B5-D5</f>
        <v/>
      </c>
      <c r="G5" s="17">
        <f>G4+D5</f>
        <v/>
      </c>
      <c r="H5" s="16">
        <f>D5/C5</f>
        <v/>
      </c>
      <c r="I5" s="16">
        <f>E5/C5</f>
        <v/>
      </c>
    </row>
    <row r="6">
      <c r="A6" s="5" t="inlineStr">
        <is>
          <t>Year 3</t>
        </is>
      </c>
      <c r="B6" s="17">
        <f>F5</f>
        <v/>
      </c>
      <c r="C6" s="13" t="n">
        <v>140035.2350453661</v>
      </c>
      <c r="D6" s="13">
        <f>C6-E6</f>
        <v/>
      </c>
      <c r="E6" s="17">
        <f>B6*0.095</f>
        <v/>
      </c>
      <c r="F6" s="13">
        <f>B6-D6</f>
        <v/>
      </c>
      <c r="G6" s="17">
        <f>G5+D6</f>
        <v/>
      </c>
      <c r="H6" s="16">
        <f>D6/C6</f>
        <v/>
      </c>
      <c r="I6" s="16">
        <f>E6/C6</f>
        <v/>
      </c>
    </row>
    <row r="7">
      <c r="A7" s="5" t="inlineStr">
        <is>
          <t>Year 4</t>
        </is>
      </c>
      <c r="B7" s="17">
        <f>F6</f>
        <v/>
      </c>
      <c r="C7" s="13" t="n">
        <v>140035.2350453661</v>
      </c>
      <c r="D7" s="13">
        <f>C7-E7</f>
        <v/>
      </c>
      <c r="E7" s="17">
        <f>B7*0.095</f>
        <v/>
      </c>
      <c r="F7" s="13">
        <f>B7-D7</f>
        <v/>
      </c>
      <c r="G7" s="17">
        <f>G6+D7</f>
        <v/>
      </c>
      <c r="H7" s="16">
        <f>D7/C7</f>
        <v/>
      </c>
      <c r="I7" s="16">
        <f>E7/C7</f>
        <v/>
      </c>
    </row>
    <row r="8">
      <c r="A8" s="5" t="inlineStr">
        <is>
          <t>Year 5</t>
        </is>
      </c>
      <c r="B8" s="17">
        <f>F7</f>
        <v/>
      </c>
      <c r="C8" s="13" t="n">
        <v>140035.2350453661</v>
      </c>
      <c r="D8" s="13">
        <f>C8-E8</f>
        <v/>
      </c>
      <c r="E8" s="17">
        <f>B8*0.095</f>
        <v/>
      </c>
      <c r="F8" s="13">
        <f>B8-D8</f>
        <v/>
      </c>
      <c r="G8" s="17">
        <f>G7+D8</f>
        <v/>
      </c>
      <c r="H8" s="16">
        <f>D8/C8</f>
        <v/>
      </c>
      <c r="I8" s="16">
        <f>E8/C8</f>
        <v/>
      </c>
    </row>
    <row r="9">
      <c r="A9" s="5" t="inlineStr">
        <is>
          <t>Year 6</t>
        </is>
      </c>
      <c r="B9" s="17">
        <f>F8</f>
        <v/>
      </c>
      <c r="C9" s="13" t="n">
        <v>140035.2350453661</v>
      </c>
      <c r="D9" s="13">
        <f>C9-E9</f>
        <v/>
      </c>
      <c r="E9" s="17">
        <f>B9*0.095</f>
        <v/>
      </c>
      <c r="F9" s="13">
        <f>B9-D9</f>
        <v/>
      </c>
      <c r="G9" s="17">
        <f>G8+D9</f>
        <v/>
      </c>
      <c r="H9" s="16">
        <f>D9/C9</f>
        <v/>
      </c>
      <c r="I9" s="16">
        <f>E9/C9</f>
        <v/>
      </c>
    </row>
    <row r="10">
      <c r="A10" s="5" t="inlineStr">
        <is>
          <t>Year 7</t>
        </is>
      </c>
      <c r="B10" s="17">
        <f>F9</f>
        <v/>
      </c>
      <c r="C10" s="13" t="n">
        <v>140035.2350453661</v>
      </c>
      <c r="D10" s="13">
        <f>C10-E10</f>
        <v/>
      </c>
      <c r="E10" s="17">
        <f>B10*0.095</f>
        <v/>
      </c>
      <c r="F10" s="13">
        <f>B10-D10</f>
        <v/>
      </c>
      <c r="G10" s="17">
        <f>G9+D10</f>
        <v/>
      </c>
      <c r="H10" s="16">
        <f>D10/C10</f>
        <v/>
      </c>
      <c r="I10" s="16">
        <f>E10/C10</f>
        <v/>
      </c>
    </row>
    <row r="13">
      <c r="A13" s="28" t="inlineStr">
        <is>
          <t>TOTAL REPAYMENT</t>
        </is>
      </c>
      <c r="C13" s="13">
        <f>SUM(C5:C12)</f>
        <v/>
      </c>
    </row>
    <row r="14">
      <c r="A14" s="28" t="inlineStr">
        <is>
          <t>TOTAL INTEREST PAID</t>
        </is>
      </c>
      <c r="E14" s="13">
        <f>SUM(E5:E12)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FINANCIAL RATIOS &amp; DEBT COVENANTS ANALYSIS</t>
        </is>
      </c>
      <c r="B1" s="12" t="n"/>
      <c r="C1" s="2" t="n"/>
    </row>
    <row r="3">
      <c r="A3" s="3" t="inlineStr">
        <is>
          <t>KEY PROFITABILITY RATIOS</t>
        </is>
      </c>
      <c r="B3" s="12" t="n"/>
      <c r="C3" s="2" t="n"/>
    </row>
    <row r="4">
      <c r="A4" s="26" t="inlineStr">
        <is>
          <t>Ratio</t>
        </is>
      </c>
      <c r="B4" s="26" t="inlineStr">
        <is>
          <t>FY 2025-26</t>
        </is>
      </c>
      <c r="C4" s="26" t="inlineStr">
        <is>
          <t>Industry Benchmark</t>
        </is>
      </c>
    </row>
    <row r="5">
      <c r="A5" s="4" t="inlineStr">
        <is>
          <t>Gross Profit Margin (%)</t>
        </is>
      </c>
      <c r="B5" s="29">
        <f>((D3-D5)/D3)*100</f>
        <v/>
      </c>
      <c r="C5" s="4" t="inlineStr">
        <is>
          <t>18-22%</t>
        </is>
      </c>
    </row>
    <row r="6">
      <c r="A6" s="4" t="inlineStr">
        <is>
          <t>EBITDA Margin (%)</t>
        </is>
      </c>
      <c r="B6" s="29">
        <f>(D6/D3)*100</f>
        <v/>
      </c>
      <c r="C6" s="4" t="inlineStr">
        <is>
          <t>18-25%</t>
        </is>
      </c>
    </row>
    <row r="7">
      <c r="A7" s="4" t="inlineStr">
        <is>
          <t>Net Profit Margin (%)</t>
        </is>
      </c>
      <c r="B7" s="29">
        <f>(D11/D3)*100</f>
        <v/>
      </c>
      <c r="C7" s="4" t="inlineStr">
        <is>
          <t>8-12%</t>
        </is>
      </c>
    </row>
    <row r="9">
      <c r="A9" s="3" t="inlineStr">
        <is>
          <t>DEBT SERVICE RATIOS</t>
        </is>
      </c>
      <c r="B9" s="12" t="n"/>
      <c r="C9" s="2" t="n"/>
    </row>
    <row r="10">
      <c r="A10" s="26" t="inlineStr">
        <is>
          <t>Ratio</t>
        </is>
      </c>
      <c r="B10" s="26" t="inlineStr">
        <is>
          <t>FY 2025-26</t>
        </is>
      </c>
      <c r="C10" s="26" t="inlineStr">
        <is>
          <t>Acceptable</t>
        </is>
      </c>
    </row>
    <row r="11">
      <c r="A11" s="25" t="inlineStr">
        <is>
          <t>Debt Service Coverage Ratio (DSCR)</t>
        </is>
      </c>
      <c r="B11" s="30">
        <f>(D6)/(12*12.84)</f>
        <v/>
      </c>
      <c r="C11" s="4" t="inlineStr">
        <is>
          <t>&gt; 1.50x</t>
        </is>
      </c>
    </row>
    <row r="12">
      <c r="A12" s="4" t="inlineStr">
        <is>
          <t>Interest Coverage Ratio</t>
        </is>
      </c>
      <c r="B12" s="30">
        <f>(D6)/(D9)</f>
        <v/>
      </c>
      <c r="C12" s="4" t="inlineStr">
        <is>
          <t>&gt; 2.50x</t>
        </is>
      </c>
    </row>
    <row r="13">
      <c r="A13" s="4" t="inlineStr">
        <is>
          <t>Loan to Value Ratio</t>
        </is>
      </c>
      <c r="B13" s="16">
        <f>7.14/(D3/100)</f>
        <v/>
      </c>
      <c r="C13" s="4" t="inlineStr">
        <is>
          <t>&lt; 50%</t>
        </is>
      </c>
    </row>
    <row r="15">
      <c r="A15" s="3" t="inlineStr">
        <is>
          <t>REPAYMENT CAPACITY ANALYSIS</t>
        </is>
      </c>
      <c r="B15" s="12" t="n"/>
      <c r="C15" s="2" t="n"/>
    </row>
    <row r="16">
      <c r="A16" t="inlineStr">
        <is>
          <t>Annual EMI</t>
        </is>
      </c>
      <c r="B16" s="13">
        <f>12*12.84</f>
        <v/>
      </c>
    </row>
    <row r="17">
      <c r="A17" t="inlineStr">
        <is>
          <t>Annual EBITDA (Lakh)</t>
        </is>
      </c>
      <c r="B17" s="22">
        <f>D6</f>
        <v/>
      </c>
    </row>
    <row r="18">
      <c r="A18" t="inlineStr">
        <is>
          <t>Available for Debt Service (Lakh)</t>
        </is>
      </c>
      <c r="B18" s="17">
        <f>(D6-D10)/100</f>
        <v/>
      </c>
    </row>
    <row r="19">
      <c r="A19" t="inlineStr">
        <is>
          <t>Debt Service Capacity</t>
        </is>
      </c>
      <c r="B19" s="31">
        <f>(D6*100)/(12*12.84)</f>
        <v/>
      </c>
      <c r="C19" s="4" t="inlineStr">
        <is>
          <t>Adequate if &gt; 1.50x</t>
        </is>
      </c>
    </row>
  </sheetData>
  <mergeCells count="4">
    <mergeCell ref="A1:C1"/>
    <mergeCell ref="A9:C9"/>
    <mergeCell ref="A3:C3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CASH FLOW PROJECTION (7 YEARS)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2" t="n"/>
    </row>
    <row r="3">
      <c r="A3" s="32" t="inlineStr">
        <is>
          <t>Particulars</t>
        </is>
      </c>
      <c r="B3" s="20" t="inlineStr">
        <is>
          <t>FY 2026-27</t>
        </is>
      </c>
      <c r="C3" s="20" t="inlineStr">
        <is>
          <t>FY 2027-28</t>
        </is>
      </c>
      <c r="D3" s="20" t="inlineStr">
        <is>
          <t>FY 2028-29</t>
        </is>
      </c>
      <c r="E3" s="20" t="inlineStr">
        <is>
          <t>FY 2029-30</t>
        </is>
      </c>
      <c r="F3" s="20" t="inlineStr">
        <is>
          <t>FY 2030-31</t>
        </is>
      </c>
      <c r="G3" s="20" t="inlineStr">
        <is>
          <t>FY 2031-32</t>
        </is>
      </c>
      <c r="H3" s="20" t="inlineStr">
        <is>
          <t>Terminal</t>
        </is>
      </c>
    </row>
    <row r="4">
      <c r="A4" s="4" t="inlineStr">
        <is>
          <t>Operating Cash Flow (EBITDA)</t>
        </is>
      </c>
      <c r="B4" s="22">
        <f>Financials!E6</f>
        <v/>
      </c>
      <c r="C4" s="22">
        <f>Financials!F6</f>
        <v/>
      </c>
      <c r="D4" s="22">
        <f>Financials!G6</f>
        <v/>
      </c>
      <c r="E4" s="22">
        <f>Financials!H6</f>
        <v/>
      </c>
      <c r="F4" s="22">
        <f>Financials!I6</f>
        <v/>
      </c>
      <c r="G4" s="22">
        <f>Financials!J6</f>
        <v/>
      </c>
      <c r="H4" s="22">
        <f>Financials!K6</f>
        <v/>
      </c>
    </row>
    <row r="5">
      <c r="A5" s="4" t="inlineStr">
        <is>
          <t>Less: Interest Expense</t>
        </is>
      </c>
      <c r="B5" s="22">
        <f>'Debt Service'!F7</f>
        <v/>
      </c>
      <c r="C5" s="22">
        <f>'Debt Service'!G8</f>
        <v/>
      </c>
      <c r="D5" s="22">
        <f>'Debt Service'!H9</f>
        <v/>
      </c>
      <c r="E5" s="22">
        <f>'Debt Service'!I10</f>
        <v/>
      </c>
      <c r="F5" s="22">
        <f>'Debt Service'!J11</f>
        <v/>
      </c>
      <c r="G5" s="22">
        <f>'Debt Service'!K12</f>
        <v/>
      </c>
      <c r="H5" s="22">
        <f>'Debt Service'!L13</f>
        <v/>
      </c>
    </row>
    <row r="6">
      <c r="A6" s="4" t="inlineStr">
        <is>
          <t>Less: Taxes</t>
        </is>
      </c>
      <c r="B6" s="22">
        <f>Financials!E10</f>
        <v/>
      </c>
      <c r="C6" s="22">
        <f>Financials!F10</f>
        <v/>
      </c>
      <c r="D6" s="22">
        <f>Financials!G10</f>
        <v/>
      </c>
      <c r="E6" s="22">
        <f>Financials!H10</f>
        <v/>
      </c>
      <c r="F6" s="22">
        <f>Financials!I10</f>
        <v/>
      </c>
      <c r="G6" s="22">
        <f>Financials!J10</f>
        <v/>
      </c>
      <c r="H6" s="22">
        <f>Financials!K10</f>
        <v/>
      </c>
    </row>
    <row r="7">
      <c r="A7" s="23" t="inlineStr">
        <is>
          <t>Free Cash Flow Available</t>
        </is>
      </c>
      <c r="B7" s="24">
        <f>B4-B5-B6</f>
        <v/>
      </c>
      <c r="C7" s="24">
        <f>C4-C5-C6</f>
        <v/>
      </c>
      <c r="D7" s="24">
        <f>D4-D5-D6</f>
        <v/>
      </c>
      <c r="E7" s="24">
        <f>E4-E5-E6</f>
        <v/>
      </c>
      <c r="F7" s="24">
        <f>F4-F5-F6</f>
        <v/>
      </c>
      <c r="G7" s="24">
        <f>G4-G5-G6</f>
        <v/>
      </c>
      <c r="H7" s="24">
        <f>H4-H5-H6</f>
        <v/>
      </c>
    </row>
    <row r="8">
      <c r="A8" s="4" t="inlineStr">
        <is>
          <t>Less: Principal Repayment</t>
        </is>
      </c>
      <c r="B8" s="22">
        <f>'Debt Service'!D7</f>
        <v/>
      </c>
      <c r="C8" s="22">
        <f>'Debt Service'!E8</f>
        <v/>
      </c>
      <c r="D8" s="22">
        <f>'Debt Service'!F9</f>
        <v/>
      </c>
      <c r="E8" s="22">
        <f>'Debt Service'!G10</f>
        <v/>
      </c>
      <c r="F8" s="22">
        <f>'Debt Service'!H11</f>
        <v/>
      </c>
      <c r="G8" s="22">
        <f>'Debt Service'!I12</f>
        <v/>
      </c>
      <c r="H8" s="22">
        <f>'Debt Service'!J13</f>
        <v/>
      </c>
    </row>
    <row r="9">
      <c r="A9" s="25" t="inlineStr">
        <is>
          <t>Residual Cash Flow</t>
        </is>
      </c>
      <c r="B9" s="24">
        <f>B7-B8</f>
        <v/>
      </c>
      <c r="C9" s="24">
        <f>C7-C8</f>
        <v/>
      </c>
      <c r="D9" s="24">
        <f>D7-D8</f>
        <v/>
      </c>
      <c r="E9" s="24">
        <f>E7-E8</f>
        <v/>
      </c>
      <c r="F9" s="24">
        <f>F7-F8</f>
        <v/>
      </c>
      <c r="G9" s="24">
        <f>G7-G8</f>
        <v/>
      </c>
      <c r="H9" s="24">
        <f>H7-H8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2026-08-05T08:23:06Z</dcterms:created>
  <dcterms:modified xsi:type="dcterms:W3CDTF">2026-08-05T08:23:06Z</dcterms:modified>
</cp:coreProperties>
</file>